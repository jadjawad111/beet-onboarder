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_\Downloads\beet 2\"/>
    </mc:Choice>
  </mc:AlternateContent>
  <xr:revisionPtr revIDLastSave="0" documentId="13_ncr:1_{8145D1F8-5F97-418B-BB2F-52186CAF6EBC}" xr6:coauthVersionLast="47" xr6:coauthVersionMax="47" xr10:uidLastSave="{00000000-0000-0000-0000-000000000000}"/>
  <bookViews>
    <workbookView xWindow="3660" yWindow="1830" windowWidth="31935" windowHeight="17250" xr2:uid="{58AD2032-FE9D-4BC9-B7F0-0116313C2E96}"/>
  </bookViews>
  <sheets>
    <sheet name="P&amp;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  <c r="I7" i="1"/>
  <c r="I8" i="1"/>
  <c r="I9" i="1"/>
  <c r="I10" i="1"/>
  <c r="I11" i="1"/>
  <c r="I12" i="1"/>
  <c r="I6" i="1"/>
  <c r="I13" i="1"/>
  <c r="E13" i="1"/>
  <c r="H7" i="1"/>
  <c r="H8" i="1"/>
  <c r="H9" i="1"/>
  <c r="H10" i="1"/>
  <c r="H11" i="1"/>
  <c r="H12" i="1"/>
  <c r="F7" i="1"/>
  <c r="F8" i="1"/>
  <c r="F9" i="1"/>
  <c r="F10" i="1"/>
  <c r="F11" i="1"/>
  <c r="F12" i="1"/>
  <c r="F6" i="1"/>
  <c r="H6" i="1" s="1"/>
  <c r="C41" i="1" l="1"/>
  <c r="B41" i="1"/>
  <c r="D41" i="1" s="1"/>
  <c r="B36" i="1"/>
  <c r="C36" i="1"/>
  <c r="D32" i="1"/>
  <c r="D38" i="1"/>
  <c r="D39" i="1"/>
  <c r="D33" i="1"/>
  <c r="D40" i="1"/>
  <c r="D34" i="1"/>
  <c r="D35" i="1"/>
  <c r="D31" i="1"/>
  <c r="D24" i="1"/>
  <c r="D25" i="1"/>
  <c r="D26" i="1"/>
  <c r="D27" i="1"/>
  <c r="D28" i="1"/>
  <c r="D23" i="1"/>
  <c r="C29" i="1"/>
  <c r="B29" i="1"/>
  <c r="D19" i="1"/>
  <c r="D20" i="1"/>
  <c r="D18" i="1"/>
  <c r="C21" i="1"/>
  <c r="B21" i="1"/>
  <c r="D13" i="1"/>
  <c r="F13" i="1" s="1"/>
  <c r="B43" i="1" l="1"/>
  <c r="C43" i="1"/>
  <c r="D43" i="1" s="1"/>
  <c r="D47" i="1" s="1"/>
  <c r="D36" i="1"/>
  <c r="D29" i="1"/>
  <c r="D21" i="1"/>
  <c r="H13" i="1"/>
  <c r="D48" i="1" l="1"/>
</calcChain>
</file>

<file path=xl/sharedStrings.xml><?xml version="1.0" encoding="utf-8"?>
<sst xmlns="http://schemas.openxmlformats.org/spreadsheetml/2006/main" count="62" uniqueCount="48">
  <si>
    <t>Revenue Summary</t>
  </si>
  <si>
    <t>City</t>
  </si>
  <si>
    <t>Country</t>
  </si>
  <si>
    <t>Withholding Tax Rate</t>
  </si>
  <si>
    <t>Withholding Tax Amount</t>
  </si>
  <si>
    <t>London</t>
  </si>
  <si>
    <t>UK</t>
  </si>
  <si>
    <t>France</t>
  </si>
  <si>
    <t>Paris</t>
  </si>
  <si>
    <t>Barcelona</t>
  </si>
  <si>
    <t>Madrid</t>
  </si>
  <si>
    <t>Munich</t>
  </si>
  <si>
    <t>Berlin</t>
  </si>
  <si>
    <t>Spain</t>
  </si>
  <si>
    <t>Expense Summary (by Tracking Entity)</t>
  </si>
  <si>
    <t>Tracked by Tour Manager</t>
  </si>
  <si>
    <t>Total Expenses</t>
  </si>
  <si>
    <t>Category</t>
  </si>
  <si>
    <t>Band &amp; Crew</t>
  </si>
  <si>
    <t>10 members</t>
  </si>
  <si>
    <t>Sound Technician</t>
  </si>
  <si>
    <t>Tour Coordinator</t>
  </si>
  <si>
    <t>Subtotal</t>
  </si>
  <si>
    <t>Hotels &amp; Restaurants</t>
  </si>
  <si>
    <t xml:space="preserve">Agency Commission </t>
  </si>
  <si>
    <t>Insurance</t>
  </si>
  <si>
    <t xml:space="preserve">Private Jet </t>
  </si>
  <si>
    <t>Transfer Cars</t>
  </si>
  <si>
    <t>Other</t>
  </si>
  <si>
    <t xml:space="preserve">Petty Cash </t>
  </si>
  <si>
    <t>Car Service</t>
  </si>
  <si>
    <t>Fees</t>
  </si>
  <si>
    <t>Net Income Summary</t>
  </si>
  <si>
    <t>Less: Total Expenses</t>
  </si>
  <si>
    <t>Net Income (Tour Profit)</t>
  </si>
  <si>
    <t>Germany</t>
  </si>
  <si>
    <t>Tracked by Production Company</t>
  </si>
  <si>
    <t>As of 12/31/2024  (All amounts in USD)</t>
  </si>
  <si>
    <t>Total</t>
  </si>
  <si>
    <t>Net Revenue (After Taxes)</t>
  </si>
  <si>
    <t>Other Tour Costs</t>
  </si>
  <si>
    <t>Other Travel Costs</t>
  </si>
  <si>
    <t>Date</t>
  </si>
  <si>
    <t>Gross Revenue (Tour Manager)</t>
  </si>
  <si>
    <t>Gross Revenue (Production Company)</t>
  </si>
  <si>
    <t>Total Net Revenue (After Taxes)</t>
  </si>
  <si>
    <t>Total Combined Gross Revenue</t>
  </si>
  <si>
    <t>2024 Fall Music Tour (October 2024) - Profit &amp;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</si>
</sst>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&quot;$&quot;#,##0.00"/>
  </numFmts>
  <fonts count="6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DFAE9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2" xfId="0" applyBorder="1"/>
    <xf numFmtId="165" fontId="0" fillId="0" borderId="2" xfId="0" applyNumberFormat="1" applyBorder="1"/>
    <xf numFmtId="164" fontId="0" fillId="0" borderId="2" xfId="0" applyNumberFormat="1" applyBorder="1"/>
    <xf numFmtId="0" fontId="0" fillId="2" borderId="2" xfId="0" applyFill="1" applyBorder="1"/>
    <xf numFmtId="0" fontId="0" fillId="0" borderId="2" xfId="0" applyBorder="1" applyAlignment="1">
      <alignment horizontal="left" indent="1"/>
    </xf>
    <xf numFmtId="0" fontId="0" fillId="2" borderId="0" xfId="0" applyFill="1"/>
    <xf numFmtId="0" fontId="0" fillId="2" borderId="2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2" xfId="0" applyFill="1" applyBorder="1" applyAlignment="1">
      <alignment horizontal="left" indent="1"/>
    </xf>
    <xf numFmtId="0" fontId="2" fillId="2" borderId="0" xfId="1" applyFill="1" applyBorder="1"/>
    <xf numFmtId="165" fontId="4" fillId="0" borderId="2" xfId="0" applyNumberFormat="1" applyFont="1" applyBorder="1" applyAlignment="1">
      <alignment horizontal="right"/>
    </xf>
    <xf numFmtId="0" fontId="0" fillId="4" borderId="2" xfId="0" applyFill="1" applyBorder="1"/>
    <xf numFmtId="165" fontId="4" fillId="4" borderId="2" xfId="0" applyNumberFormat="1" applyFont="1" applyFill="1" applyBorder="1"/>
    <xf numFmtId="0" fontId="4" fillId="4" borderId="2" xfId="0" applyFont="1" applyFill="1" applyBorder="1"/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left" indent="1"/>
    </xf>
    <xf numFmtId="14" fontId="0" fillId="0" borderId="2" xfId="0" applyNumberFormat="1" applyBorder="1"/>
    <xf numFmtId="0" fontId="2" fillId="2" borderId="1" xfId="1" applyFill="1"/>
    <xf numFmtId="0" fontId="0" fillId="5" borderId="0" xfId="0" applyFill="1" applyAlignment="1">
      <alignment horizontal="left"/>
    </xf>
    <xf numFmtId="165" fontId="4" fillId="5" borderId="0" xfId="0" applyNumberFormat="1" applyFont="1" applyFill="1"/>
    <xf numFmtId="165" fontId="4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2" fillId="2" borderId="3" xfId="1" applyFill="1" applyBorder="1" applyAlignment="1">
      <alignment horizontal="left" vertical="top"/>
    </xf>
    <xf numFmtId="0" fontId="2" fillId="2" borderId="1" xfId="1" applyFill="1" applyAlignment="1">
      <alignment horizontal="left" vertical="center"/>
    </xf>
    <xf numFmtId="0" fontId="2" fillId="2" borderId="1" xfId="1" applyFill="1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0" xfId="0" applyFill="1" applyBorder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colors>
    <mruColors>
      <color rgb="FFFDFAE9"/>
      <color rgb="FFFAF4D2"/>
      <color rgb="FFF5EA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4245-4E38-415E-951F-F1E91E3D9AB5}">
  <dimension ref="A1:I48"/>
  <sheetViews>
    <sheetView showGridLines="0" tabSelected="1" zoomScaleNormal="100" workbookViewId="0">
      <selection activeCell="L6" sqref="L6"/>
    </sheetView>
  </sheetViews>
  <sheetFormatPr defaultRowHeight="15" x14ac:dyDescent="0.25"/>
  <cols>
    <col min="1" max="1" width="28.42578125" bestFit="1" customWidth="1"/>
    <col min="2" max="2" width="22.42578125" customWidth="1"/>
    <col min="3" max="3" width="23.5703125" customWidth="1"/>
    <col min="4" max="4" width="28.28515625" customWidth="1"/>
    <col min="5" max="5" width="22.140625" customWidth="1"/>
    <col min="6" max="6" width="21.85546875" customWidth="1"/>
    <col min="7" max="7" width="15.42578125" customWidth="1"/>
    <col min="8" max="8" width="18" customWidth="1"/>
    <col min="9" max="9" width="19.85546875" customWidth="1"/>
  </cols>
  <sheetData>
    <row r="1" spans="1:9" ht="28.5" x14ac:dyDescent="0.45">
      <c r="A1" s="24" t="s">
        <v>47</v>
      </c>
      <c r="B1" s="24"/>
      <c r="C1" s="24"/>
      <c r="D1" s="24"/>
      <c r="E1" s="24"/>
      <c r="F1" s="24"/>
      <c r="G1" s="24"/>
      <c r="H1" s="24"/>
    </row>
    <row r="2" spans="1:9" x14ac:dyDescent="0.25">
      <c r="A2" s="28" t="s">
        <v>37</v>
      </c>
      <c r="B2" s="28"/>
      <c r="C2" s="28"/>
      <c r="D2" s="28"/>
      <c r="E2" s="28"/>
      <c r="F2" s="28"/>
      <c r="G2" s="28"/>
      <c r="H2" s="28"/>
    </row>
    <row r="4" spans="1:9" ht="20.25" thickBot="1" x14ac:dyDescent="0.35">
      <c r="A4" s="27" t="s">
        <v>0</v>
      </c>
      <c r="B4" s="27"/>
      <c r="C4" s="27"/>
      <c r="D4" s="27"/>
      <c r="E4" s="27"/>
      <c r="F4" s="27"/>
      <c r="G4" s="27"/>
      <c r="H4" s="27"/>
      <c r="I4" s="20"/>
    </row>
    <row r="5" spans="1:9" s="1" customFormat="1" ht="33" customHeight="1" thickTop="1" x14ac:dyDescent="0.25">
      <c r="A5" s="2" t="s">
        <v>1</v>
      </c>
      <c r="B5" s="2" t="s">
        <v>2</v>
      </c>
      <c r="C5" s="2" t="s">
        <v>42</v>
      </c>
      <c r="D5" s="2" t="s">
        <v>43</v>
      </c>
      <c r="E5" s="2" t="s">
        <v>44</v>
      </c>
      <c r="F5" s="2" t="s">
        <v>46</v>
      </c>
      <c r="G5" s="2" t="s">
        <v>3</v>
      </c>
      <c r="H5" s="2" t="s">
        <v>4</v>
      </c>
      <c r="I5" s="2" t="s">
        <v>39</v>
      </c>
    </row>
    <row r="6" spans="1:9" x14ac:dyDescent="0.25">
      <c r="A6" s="3" t="s">
        <v>5</v>
      </c>
      <c r="B6" s="3" t="s">
        <v>6</v>
      </c>
      <c r="C6" s="19">
        <v>45572</v>
      </c>
      <c r="D6" s="4">
        <v>230754</v>
      </c>
      <c r="E6" s="4">
        <v>0</v>
      </c>
      <c r="F6" s="4">
        <f>D6+E6</f>
        <v>230754</v>
      </c>
      <c r="G6" s="5">
        <v>0.2</v>
      </c>
      <c r="H6" s="4">
        <f>F6*G6</f>
        <v>46150.8</v>
      </c>
      <c r="I6" s="4">
        <f>D6+E6-H6</f>
        <v>184603.2</v>
      </c>
    </row>
    <row r="7" spans="1:9" x14ac:dyDescent="0.25">
      <c r="A7" s="3" t="s">
        <v>8</v>
      </c>
      <c r="B7" s="3" t="s">
        <v>7</v>
      </c>
      <c r="C7" s="19">
        <v>45574</v>
      </c>
      <c r="D7" s="4">
        <v>175880</v>
      </c>
      <c r="E7" s="4">
        <v>0</v>
      </c>
      <c r="F7" s="4">
        <f t="shared" ref="F7:F12" si="0">D7+E7</f>
        <v>175880</v>
      </c>
      <c r="G7" s="5">
        <v>0.15</v>
      </c>
      <c r="H7" s="4">
        <f t="shared" ref="H7:H12" si="1">F7*G7</f>
        <v>26382</v>
      </c>
      <c r="I7" s="4">
        <f t="shared" ref="I7:I12" si="2">D7+E7-H7</f>
        <v>149498</v>
      </c>
    </row>
    <row r="8" spans="1:9" x14ac:dyDescent="0.25">
      <c r="A8" s="3" t="s">
        <v>8</v>
      </c>
      <c r="B8" s="3" t="s">
        <v>7</v>
      </c>
      <c r="C8" s="19">
        <v>45575</v>
      </c>
      <c r="D8" s="4">
        <v>168432</v>
      </c>
      <c r="E8" s="4">
        <v>0</v>
      </c>
      <c r="F8" s="4">
        <f t="shared" si="0"/>
        <v>168432</v>
      </c>
      <c r="G8" s="5">
        <v>0.15</v>
      </c>
      <c r="H8" s="4">
        <f t="shared" si="1"/>
        <v>25264.799999999999</v>
      </c>
      <c r="I8" s="4">
        <f t="shared" si="2"/>
        <v>143167.20000000001</v>
      </c>
    </row>
    <row r="9" spans="1:9" x14ac:dyDescent="0.25">
      <c r="A9" s="3" t="s">
        <v>9</v>
      </c>
      <c r="B9" s="3" t="s">
        <v>13</v>
      </c>
      <c r="C9" s="19">
        <v>45577</v>
      </c>
      <c r="D9" s="4">
        <v>125932</v>
      </c>
      <c r="E9" s="4">
        <v>0</v>
      </c>
      <c r="F9" s="4">
        <f t="shared" si="0"/>
        <v>125932</v>
      </c>
      <c r="G9" s="5">
        <v>0.24</v>
      </c>
      <c r="H9" s="4">
        <f t="shared" si="1"/>
        <v>30223.68</v>
      </c>
      <c r="I9" s="4">
        <f t="shared" si="2"/>
        <v>95708.32</v>
      </c>
    </row>
    <row r="10" spans="1:9" x14ac:dyDescent="0.25">
      <c r="A10" s="3" t="s">
        <v>10</v>
      </c>
      <c r="B10" s="3" t="s">
        <v>13</v>
      </c>
      <c r="C10" s="19">
        <v>45579</v>
      </c>
      <c r="D10" s="4">
        <v>110823</v>
      </c>
      <c r="E10" s="4">
        <v>0</v>
      </c>
      <c r="F10" s="4">
        <f t="shared" si="0"/>
        <v>110823</v>
      </c>
      <c r="G10" s="5">
        <v>0.24</v>
      </c>
      <c r="H10" s="4">
        <f t="shared" si="1"/>
        <v>26597.52</v>
      </c>
      <c r="I10" s="4">
        <f t="shared" si="2"/>
        <v>84225.48</v>
      </c>
    </row>
    <row r="11" spans="1:9" x14ac:dyDescent="0.25">
      <c r="A11" s="3" t="s">
        <v>11</v>
      </c>
      <c r="B11" s="3" t="s">
        <v>35</v>
      </c>
      <c r="C11" s="19">
        <v>45581</v>
      </c>
      <c r="D11" s="4">
        <v>99117</v>
      </c>
      <c r="E11" s="4">
        <v>0</v>
      </c>
      <c r="F11" s="4">
        <f t="shared" si="0"/>
        <v>99117</v>
      </c>
      <c r="G11" s="5">
        <v>0.15825</v>
      </c>
      <c r="H11" s="4">
        <f t="shared" si="1"/>
        <v>15685.26525</v>
      </c>
      <c r="I11" s="4">
        <f t="shared" si="2"/>
        <v>83431.734750000003</v>
      </c>
    </row>
    <row r="12" spans="1:9" x14ac:dyDescent="0.25">
      <c r="A12" s="3" t="s">
        <v>12</v>
      </c>
      <c r="B12" s="3" t="s">
        <v>35</v>
      </c>
      <c r="C12" s="19">
        <v>45583</v>
      </c>
      <c r="D12" s="4">
        <v>132812</v>
      </c>
      <c r="E12" s="4">
        <v>0</v>
      </c>
      <c r="F12" s="4">
        <f t="shared" si="0"/>
        <v>132812</v>
      </c>
      <c r="G12" s="5">
        <v>0.15825</v>
      </c>
      <c r="H12" s="4">
        <f t="shared" si="1"/>
        <v>21017.499</v>
      </c>
      <c r="I12" s="4">
        <f t="shared" si="2"/>
        <v>111794.501</v>
      </c>
    </row>
    <row r="13" spans="1:9" x14ac:dyDescent="0.25">
      <c r="A13" s="14" t="s">
        <v>38</v>
      </c>
      <c r="B13" s="14"/>
      <c r="C13" s="16"/>
      <c r="D13" s="15">
        <f>SUM(D6:D12)</f>
        <v>1043750</v>
      </c>
      <c r="E13" s="15">
        <f>SUM(E6:E12)</f>
        <v>0</v>
      </c>
      <c r="F13" s="15">
        <f>D13+E13</f>
        <v>1043750</v>
      </c>
      <c r="G13" s="16"/>
      <c r="H13" s="15">
        <f t="shared" ref="H13:I13" si="3">SUM(H6:H12)</f>
        <v>191321.56425</v>
      </c>
      <c r="I13" s="15">
        <f>F13-H13</f>
        <v>852428.43574999995</v>
      </c>
    </row>
    <row r="14" spans="1:9" x14ac:dyDescent="0.25">
      <c r="A14" s="29"/>
    </row>
    <row r="15" spans="1:9" ht="20.25" thickBot="1" x14ac:dyDescent="0.3">
      <c r="A15" s="26" t="s">
        <v>14</v>
      </c>
      <c r="B15" s="26"/>
      <c r="C15" s="26"/>
      <c r="D15" s="26"/>
    </row>
    <row r="16" spans="1:9" s="1" customFormat="1" ht="30.75" customHeight="1" thickTop="1" x14ac:dyDescent="0.25">
      <c r="A16" s="2" t="s">
        <v>17</v>
      </c>
      <c r="B16" s="2" t="s">
        <v>15</v>
      </c>
      <c r="C16" s="2" t="s">
        <v>36</v>
      </c>
      <c r="D16" s="2" t="s">
        <v>16</v>
      </c>
    </row>
    <row r="17" spans="1:4" x14ac:dyDescent="0.25">
      <c r="A17" s="6" t="s">
        <v>18</v>
      </c>
      <c r="B17" s="6"/>
      <c r="C17" s="6"/>
      <c r="D17" s="6"/>
    </row>
    <row r="18" spans="1:4" x14ac:dyDescent="0.25">
      <c r="A18" s="7" t="s">
        <v>19</v>
      </c>
      <c r="B18" s="4"/>
      <c r="C18" s="4">
        <v>91000</v>
      </c>
      <c r="D18" s="4">
        <f>SUM(B18:C18)</f>
        <v>91000</v>
      </c>
    </row>
    <row r="19" spans="1:4" x14ac:dyDescent="0.25">
      <c r="A19" s="7" t="s">
        <v>20</v>
      </c>
      <c r="B19" s="4">
        <v>8256</v>
      </c>
      <c r="C19" s="4"/>
      <c r="D19" s="4">
        <f t="shared" ref="D19:D21" si="4">SUM(B19:C19)</f>
        <v>8256</v>
      </c>
    </row>
    <row r="20" spans="1:4" x14ac:dyDescent="0.25">
      <c r="A20" s="7" t="s">
        <v>21</v>
      </c>
      <c r="B20" s="4">
        <v>6904</v>
      </c>
      <c r="C20" s="4"/>
      <c r="D20" s="4">
        <f t="shared" si="4"/>
        <v>6904</v>
      </c>
    </row>
    <row r="21" spans="1:4" x14ac:dyDescent="0.25">
      <c r="A21" s="17" t="s">
        <v>22</v>
      </c>
      <c r="B21" s="15">
        <f>SUM(B18:B20)</f>
        <v>15160</v>
      </c>
      <c r="C21" s="15">
        <f>SUM(C18:C20)</f>
        <v>91000</v>
      </c>
      <c r="D21" s="15">
        <f t="shared" si="4"/>
        <v>106160</v>
      </c>
    </row>
    <row r="22" spans="1:4" x14ac:dyDescent="0.25">
      <c r="A22" s="10" t="s">
        <v>23</v>
      </c>
      <c r="B22" s="8"/>
      <c r="C22" s="8"/>
      <c r="D22" s="8"/>
    </row>
    <row r="23" spans="1:4" x14ac:dyDescent="0.25">
      <c r="A23" s="7" t="s">
        <v>5</v>
      </c>
      <c r="B23" s="4">
        <v>8388</v>
      </c>
      <c r="C23" s="4">
        <v>14232</v>
      </c>
      <c r="D23" s="4">
        <f>SUM(B23:C23)</f>
        <v>22620</v>
      </c>
    </row>
    <row r="24" spans="1:4" x14ac:dyDescent="0.25">
      <c r="A24" s="7" t="s">
        <v>8</v>
      </c>
      <c r="B24" s="4">
        <v>15653</v>
      </c>
      <c r="C24" s="4">
        <v>22296</v>
      </c>
      <c r="D24" s="4">
        <f t="shared" ref="D24:D29" si="5">SUM(B24:C24)</f>
        <v>37949</v>
      </c>
    </row>
    <row r="25" spans="1:4" x14ac:dyDescent="0.25">
      <c r="A25" s="7" t="s">
        <v>9</v>
      </c>
      <c r="B25" s="4">
        <v>5445</v>
      </c>
      <c r="C25" s="4">
        <v>8168</v>
      </c>
      <c r="D25" s="4">
        <f t="shared" si="5"/>
        <v>13613</v>
      </c>
    </row>
    <row r="26" spans="1:4" x14ac:dyDescent="0.25">
      <c r="A26" s="7" t="s">
        <v>10</v>
      </c>
      <c r="B26" s="4">
        <v>5113</v>
      </c>
      <c r="C26" s="4">
        <v>8776</v>
      </c>
      <c r="D26" s="4">
        <f t="shared" si="5"/>
        <v>13889</v>
      </c>
    </row>
    <row r="27" spans="1:4" x14ac:dyDescent="0.25">
      <c r="A27" s="7" t="s">
        <v>11</v>
      </c>
      <c r="B27" s="4">
        <v>6369</v>
      </c>
      <c r="C27" s="4">
        <v>12040</v>
      </c>
      <c r="D27" s="4">
        <f t="shared" si="5"/>
        <v>18409</v>
      </c>
    </row>
    <row r="28" spans="1:4" x14ac:dyDescent="0.25">
      <c r="A28" s="7" t="s">
        <v>12</v>
      </c>
      <c r="B28" s="4">
        <v>6592</v>
      </c>
      <c r="C28" s="4">
        <v>13226</v>
      </c>
      <c r="D28" s="4">
        <f t="shared" si="5"/>
        <v>19818</v>
      </c>
    </row>
    <row r="29" spans="1:4" x14ac:dyDescent="0.25">
      <c r="A29" s="14" t="s">
        <v>22</v>
      </c>
      <c r="B29" s="15">
        <f>SUM(B23:B28)</f>
        <v>47560</v>
      </c>
      <c r="C29" s="15">
        <f>SUM(C23:C28)</f>
        <v>78738</v>
      </c>
      <c r="D29" s="15">
        <f t="shared" si="5"/>
        <v>126298</v>
      </c>
    </row>
    <row r="30" spans="1:4" x14ac:dyDescent="0.25">
      <c r="A30" s="9" t="s">
        <v>40</v>
      </c>
      <c r="B30" s="6"/>
      <c r="C30" s="6"/>
      <c r="D30" s="6"/>
    </row>
    <row r="31" spans="1:4" x14ac:dyDescent="0.25">
      <c r="A31" s="7" t="s">
        <v>24</v>
      </c>
      <c r="B31" s="4">
        <v>114812.5</v>
      </c>
      <c r="C31" s="4"/>
      <c r="D31" s="4">
        <f t="shared" ref="D31:D36" si="6">SUM(B31:C31)</f>
        <v>114812.5</v>
      </c>
    </row>
    <row r="32" spans="1:4" x14ac:dyDescent="0.25">
      <c r="A32" s="7" t="s">
        <v>25</v>
      </c>
      <c r="B32" s="4">
        <v>22024</v>
      </c>
      <c r="C32" s="4"/>
      <c r="D32" s="4">
        <f t="shared" si="6"/>
        <v>22024</v>
      </c>
    </row>
    <row r="33" spans="1:6" x14ac:dyDescent="0.25">
      <c r="A33" s="7" t="s">
        <v>29</v>
      </c>
      <c r="B33" s="4"/>
      <c r="C33" s="4">
        <v>8000</v>
      </c>
      <c r="D33" s="4">
        <f t="shared" si="6"/>
        <v>8000</v>
      </c>
    </row>
    <row r="34" spans="1:6" x14ac:dyDescent="0.25">
      <c r="A34" s="7" t="s">
        <v>31</v>
      </c>
      <c r="B34" s="4"/>
      <c r="C34" s="4">
        <v>1679</v>
      </c>
      <c r="D34" s="4">
        <f t="shared" si="6"/>
        <v>1679</v>
      </c>
    </row>
    <row r="35" spans="1:6" x14ac:dyDescent="0.25">
      <c r="A35" s="7" t="s">
        <v>28</v>
      </c>
      <c r="B35" s="4">
        <v>4819</v>
      </c>
      <c r="C35" s="4"/>
      <c r="D35" s="4">
        <f t="shared" si="6"/>
        <v>4819</v>
      </c>
    </row>
    <row r="36" spans="1:6" x14ac:dyDescent="0.25">
      <c r="A36" s="18" t="s">
        <v>22</v>
      </c>
      <c r="B36" s="15">
        <f>SUM(B31:B35)</f>
        <v>141655.5</v>
      </c>
      <c r="C36" s="15">
        <f>SUM(C31:C35)</f>
        <v>9679</v>
      </c>
      <c r="D36" s="15">
        <f t="shared" si="6"/>
        <v>151334.5</v>
      </c>
    </row>
    <row r="37" spans="1:6" x14ac:dyDescent="0.25">
      <c r="A37" s="11" t="s">
        <v>41</v>
      </c>
      <c r="B37" s="6"/>
      <c r="C37" s="6"/>
      <c r="D37" s="6"/>
    </row>
    <row r="38" spans="1:6" x14ac:dyDescent="0.25">
      <c r="A38" s="7" t="s">
        <v>26</v>
      </c>
      <c r="B38" s="4">
        <v>341000</v>
      </c>
      <c r="C38" s="4"/>
      <c r="D38" s="4">
        <f t="shared" ref="D38:D43" si="7">SUM(B38:C38)</f>
        <v>341000</v>
      </c>
    </row>
    <row r="39" spans="1:6" x14ac:dyDescent="0.25">
      <c r="A39" s="7" t="s">
        <v>27</v>
      </c>
      <c r="B39" s="4">
        <v>4237</v>
      </c>
      <c r="C39" s="4"/>
      <c r="D39" s="4">
        <f t="shared" si="7"/>
        <v>4237</v>
      </c>
    </row>
    <row r="40" spans="1:6" x14ac:dyDescent="0.25">
      <c r="A40" s="7" t="s">
        <v>30</v>
      </c>
      <c r="B40" s="4"/>
      <c r="C40" s="4">
        <v>2976</v>
      </c>
      <c r="D40" s="4">
        <f>SUM(B40:C40)</f>
        <v>2976</v>
      </c>
    </row>
    <row r="41" spans="1:6" x14ac:dyDescent="0.25">
      <c r="A41" s="18" t="s">
        <v>22</v>
      </c>
      <c r="B41" s="15">
        <f>SUM(B38:B40)</f>
        <v>345237</v>
      </c>
      <c r="C41" s="15">
        <f>SUM(C38:C40)</f>
        <v>2976</v>
      </c>
      <c r="D41" s="15">
        <f>SUM(B41:C41)</f>
        <v>348213</v>
      </c>
    </row>
    <row r="43" spans="1:6" x14ac:dyDescent="0.25">
      <c r="A43" s="21" t="s">
        <v>16</v>
      </c>
      <c r="B43" s="22">
        <f>SUM(B21,B29,B36,B41)</f>
        <v>549612.5</v>
      </c>
      <c r="C43" s="22">
        <f>SUM(C21,C29,C36,C41)</f>
        <v>182393</v>
      </c>
      <c r="D43" s="22">
        <f t="shared" si="7"/>
        <v>732005.5</v>
      </c>
    </row>
    <row r="45" spans="1:6" ht="19.5" x14ac:dyDescent="0.3">
      <c r="A45" s="25" t="s">
        <v>32</v>
      </c>
      <c r="B45" s="25"/>
      <c r="C45" s="25"/>
      <c r="D45" s="12"/>
    </row>
    <row r="46" spans="1:6" x14ac:dyDescent="0.25">
      <c r="A46" s="3" t="s">
        <v>45</v>
      </c>
      <c r="B46" s="4"/>
      <c r="C46" s="3"/>
      <c r="D46" s="13">
        <f>I13</f>
        <v>852428.43574999995</v>
      </c>
    </row>
    <row r="47" spans="1:6" x14ac:dyDescent="0.25">
      <c r="A47" s="3" t="s">
        <v>33</v>
      </c>
      <c r="B47" s="3"/>
      <c r="C47" s="3"/>
      <c r="D47" s="13">
        <f>D43</f>
        <v>732005.5</v>
      </c>
      <c r="E47" s="23"/>
      <c r="F47" s="23"/>
    </row>
    <row r="48" spans="1:6" x14ac:dyDescent="0.25">
      <c r="A48" s="3" t="s">
        <v>34</v>
      </c>
      <c r="B48" s="3"/>
      <c r="C48" s="3"/>
      <c r="D48" s="13">
        <f>D46-D47</f>
        <v>120422.93574999995</v>
      </c>
      <c r="E48" s="23"/>
      <c r="F48" s="23"/>
    </row>
  </sheetData>
  <mergeCells count="5">
    <mergeCell ref="A1:H1"/>
    <mergeCell ref="A45:C45"/>
    <mergeCell ref="A15:D15"/>
    <mergeCell ref="A4:H4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of Texas .</dc:creator>
  <cp:lastModifiedBy>Matt Talley</cp:lastModifiedBy>
  <dcterms:created xsi:type="dcterms:W3CDTF">2025-12-12T07:48:04Z</dcterms:created>
  <dcterms:modified xsi:type="dcterms:W3CDTF">2025-12-22T21:47:30Z</dcterms:modified>
</cp:coreProperties>
</file>